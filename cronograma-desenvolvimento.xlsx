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Decisões e prazos" sheetId="2" state="visible" r:id="rId4"/>
    <sheet name="Risc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<sst xmlns="http://schemas.openxmlformats.org/spreadsheetml/2006/main" count="108" uniqueCount="90">
  <si>
    <t xml:space="preserve">Cronograma de desenvolvimento - App de controle pessoal</t>
  </si>
  <si>
    <t xml:space="preserve">Início do projeto: 19/10/2026 · Revisão: 20/10/2026 · Fases em sequência, de segunda a sexta.</t>
  </si>
  <si>
    <t xml:space="preserve">Como usar: edite só as células em azul com fundo amarelo (início, fim e situação). Semanas úteis e o término total se recalculam.</t>
  </si>
  <si>
    <t xml:space="preserve">Fase</t>
  </si>
  <si>
    <t xml:space="preserve">Módulos</t>
  </si>
  <si>
    <t xml:space="preserve">Início</t>
  </si>
  <si>
    <t xml:space="preserve">Fim</t>
  </si>
  <si>
    <t xml:space="preserve">Dias úteis</t>
  </si>
  <si>
    <t xml:space="preserve">Semanas</t>
  </si>
  <si>
    <t xml:space="preserve">Entrega principal</t>
  </si>
  <si>
    <t xml:space="preserve">Situação</t>
  </si>
  <si>
    <t xml:space="preserve">0. Base (fechamento)</t>
  </si>
  <si>
    <t xml:space="preserve">Escopo, banco, esqueleto</t>
  </si>
  <si>
    <t xml:space="preserve">Rodar testes no PC, abrir no emulador, contrato de sincronização, decidir API própria ou Supabase</t>
  </si>
  <si>
    <t xml:space="preserve">Em andamento</t>
  </si>
  <si>
    <t xml:space="preserve">1. Acesso</t>
  </si>
  <si>
    <t xml:space="preserve">M1, M2, M9 (parte)</t>
  </si>
  <si>
    <t xml:space="preserve">API com cadastro e login; telas de login em 4 idiomas</t>
  </si>
  <si>
    <t xml:space="preserve">A fazer</t>
  </si>
  <si>
    <t xml:space="preserve">2. Módulos e liberação</t>
  </si>
  <si>
    <t xml:space="preserve">M9</t>
  </si>
  <si>
    <t xml:space="preserve">Telas do administrador; módulos liberados no app; banco local criptografado e biometria</t>
  </si>
  <si>
    <t xml:space="preserve">3. Finanças</t>
  </si>
  <si>
    <t xml:space="preserve">M4</t>
  </si>
  <si>
    <t xml:space="preserve">Contas, a pagar, orçamentos, metas e transferência entre contas</t>
  </si>
  <si>
    <t xml:space="preserve">Folga de fim de ano</t>
  </si>
  <si>
    <t xml:space="preserve">-</t>
  </si>
  <si>
    <t xml:space="preserve">Recesso e margem para atrasos</t>
  </si>
  <si>
    <t xml:space="preserve">4. Saúde</t>
  </si>
  <si>
    <t xml:space="preserve">M5</t>
  </si>
  <si>
    <t xml:space="preserve">Medicamentos com lembrete, consultas, indicadores e documentos</t>
  </si>
  <si>
    <t xml:space="preserve">5. Agenda</t>
  </si>
  <si>
    <t xml:space="preserve">M6</t>
  </si>
  <si>
    <t xml:space="preserve">Compromissos, tarefas, lembretes e detecção de conflitos</t>
  </si>
  <si>
    <t xml:space="preserve">6. Painel e relatórios</t>
  </si>
  <si>
    <t xml:space="preserve">M7</t>
  </si>
  <si>
    <t xml:space="preserve">Tela Hoje completa, relatórios, exportação e busca (Carnaval 08 a 10/02)</t>
  </si>
  <si>
    <t xml:space="preserve">7. Sincronização</t>
  </si>
  <si>
    <t xml:space="preserve">M8</t>
  </si>
  <si>
    <t xml:space="preserve">Envio e recebimento, conflitos, uso sem internet</t>
  </si>
  <si>
    <t xml:space="preserve">8. Licenças e cobrança</t>
  </si>
  <si>
    <t xml:space="preserve">M3</t>
  </si>
  <si>
    <t xml:space="preserve">Planos, Pix e cartão, cobrança ligável</t>
  </si>
  <si>
    <t xml:space="preserve">9. Publicação</t>
  </si>
  <si>
    <t xml:space="preserve">Todos</t>
  </si>
  <si>
    <t xml:space="preserve">Testes finais, contas de desenvolvedor, lojas</t>
  </si>
  <si>
    <t xml:space="preserve">Total</t>
  </si>
  <si>
    <t xml:space="preserve">Notas</t>
  </si>
  <si>
    <t xml:space="preserve">Dias úteis contam segunda a sexta, sem descontar feriados. A fase 3 termina em 24/12 (véspera de Natal); a fase 6 inclui o Carnaval (08 a 10/02/2027).</t>
  </si>
  <si>
    <t xml:space="preserve">Durações são estimativas para uma pessoa trabalhando com apoio do Claude. Se uma fase atrasar, as seguintes deslizam; a folga de fim de ano é a única margem fixa.</t>
  </si>
  <si>
    <t xml:space="preserve">Alterar a data de uma fase não move as seguintes automaticamente: ajuste início e fim de cada uma.</t>
  </si>
  <si>
    <t xml:space="preserve">Decisões em aberto e prazos</t>
  </si>
  <si>
    <t xml:space="preserve">Decisão</t>
  </si>
  <si>
    <t xml:space="preserve">Prazo</t>
  </si>
  <si>
    <t xml:space="preserve">Por quê</t>
  </si>
  <si>
    <t xml:space="preserve">API própria (Node.js) ou Supabase</t>
  </si>
  <si>
    <t xml:space="preserve">Define toda a fase 1 e a fase 7</t>
  </si>
  <si>
    <t xml:space="preserve">Em aberto</t>
  </si>
  <si>
    <t xml:space="preserve">Serviço de envio de e-mail (confirmação de cadastro e recuperação de senha)</t>
  </si>
  <si>
    <t xml:space="preserve">Necessário na fase 1</t>
  </si>
  <si>
    <t xml:space="preserve">Provedor de pagamento (Pix e cartão)</t>
  </si>
  <si>
    <t xml:space="preserve">Define a fase 8</t>
  </si>
  <si>
    <t xml:space="preserve">Compras dentro do app: regras do Google Play e da Apple para vender licença</t>
  </si>
  <si>
    <t xml:space="preserve">Podem exigir o pagamento deles e mudar a fase 8</t>
  </si>
  <si>
    <t xml:space="preserve">Mac e conta de desenvolvedor da Apple para o iPhone</t>
  </si>
  <si>
    <t xml:space="preserve">O iOS só compila em um Mac, e a conta leva dias para ser aprovada</t>
  </si>
  <si>
    <t xml:space="preserve">Conta de desenvolvedor do Google Play</t>
  </si>
  <si>
    <t xml:space="preserve">Contas pessoais novas costumam exigir teste fechado com testadores antes de publicar; confirmar a regra atual no Play Console</t>
  </si>
  <si>
    <t xml:space="preserve">Preços de mensal, anual e vitalício por moeda</t>
  </si>
  <si>
    <t xml:space="preserve">Entram na tabela plano_preco</t>
  </si>
  <si>
    <t xml:space="preserve">Quem usou o período gratuito mantém acesso ou passa a pagar</t>
  </si>
  <si>
    <t xml:space="preserve">Hoje o banco assume que passa a pagar</t>
  </si>
  <si>
    <t xml:space="preserve">Riscos que podem mexer no cronograma</t>
  </si>
  <si>
    <t xml:space="preserve">Risco</t>
  </si>
  <si>
    <t xml:space="preserve">Fase afetada</t>
  </si>
  <si>
    <t xml:space="preserve">O que fazer</t>
  </si>
  <si>
    <t xml:space="preserve">Sincronização é a parte mais difícil</t>
  </si>
  <si>
    <t xml:space="preserve">7</t>
  </si>
  <si>
    <t xml:space="preserve">O contrato de sincronização é definido na fase 0. Se os conflitos ficarem complicados, use a folga de fim de ano ou corte itens da fase 6</t>
  </si>
  <si>
    <t xml:space="preserve">Revisão das lojas (Apple e Google) leva dias e pode pedir correções</t>
  </si>
  <si>
    <t xml:space="preserve">9</t>
  </si>
  <si>
    <t xml:space="preserve">Abrir as contas e preparar a ficha da loja na semana 2, antes do envio</t>
  </si>
  <si>
    <t xml:space="preserve">Integração de pagamento depende do provedor e de testes em ambiente de teste</t>
  </si>
  <si>
    <t xml:space="preserve">8</t>
  </si>
  <si>
    <t xml:space="preserve">Decidir o provedor até 01/03/2027, o que deixa duas semanas de margem</t>
  </si>
  <si>
    <t xml:space="preserve">Sem um Mac o iPhone não compila</t>
  </si>
  <si>
    <t xml:space="preserve">Se não houver Mac até março, a versão iOS sai depois da Android</t>
  </si>
  <si>
    <t xml:space="preserve">Uma pessoa só: férias, doença ou outro projeto empurram tudo</t>
  </si>
  <si>
    <t xml:space="preserve">Todas</t>
  </si>
  <si>
    <t xml:space="preserve">A folga de fim de ano é a única margem fixa; rever as datas a cada fim de fase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</si>
</sst>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7" min="7" style="0" width="58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23.85" hidden="false" customHeight="false" outlineLevel="0" collapsed="false">
      <c r="A6" s="4" t="s">
        <v>11</v>
      </c>
      <c r="B6" s="5" t="s">
        <v>12</v>
      </c>
      <c r="C6" s="6" t="n">
        <v>46314</v>
      </c>
      <c r="D6" s="6" t="n">
        <v>46325</v>
      </c>
      <c r="E6" s="7" t="n">
        <f aca="false">NETWORKDAYS(C6,D6)</f>
        <v>10</v>
      </c>
      <c r="F6" s="8" t="n">
        <f aca="false">E6/5</f>
        <v>2</v>
      </c>
      <c r="G6" s="5" t="s">
        <v>13</v>
      </c>
      <c r="H6" s="9" t="s">
        <v>14</v>
      </c>
    </row>
    <row r="7" customFormat="false" ht="15" hidden="false" customHeight="false" outlineLevel="0" collapsed="false">
      <c r="A7" s="4" t="s">
        <v>15</v>
      </c>
      <c r="B7" s="5" t="s">
        <v>16</v>
      </c>
      <c r="C7" s="6" t="n">
        <v>46328</v>
      </c>
      <c r="D7" s="6" t="n">
        <v>46346</v>
      </c>
      <c r="E7" s="7" t="n">
        <f aca="false">NETWORKDAYS(C7,D7)</f>
        <v>15</v>
      </c>
      <c r="F7" s="8" t="n">
        <f aca="false">E7/5</f>
        <v>3</v>
      </c>
      <c r="G7" s="5" t="s">
        <v>17</v>
      </c>
      <c r="H7" s="9" t="s">
        <v>18</v>
      </c>
    </row>
    <row r="8" customFormat="false" ht="23.85" hidden="false" customHeight="false" outlineLevel="0" collapsed="false">
      <c r="A8" s="4" t="s">
        <v>19</v>
      </c>
      <c r="B8" s="5" t="s">
        <v>20</v>
      </c>
      <c r="C8" s="6" t="n">
        <v>46349</v>
      </c>
      <c r="D8" s="6" t="n">
        <v>46360</v>
      </c>
      <c r="E8" s="7" t="n">
        <f aca="false">NETWORKDAYS(C8,D8)</f>
        <v>10</v>
      </c>
      <c r="F8" s="8" t="n">
        <f aca="false">E8/5</f>
        <v>2</v>
      </c>
      <c r="G8" s="5" t="s">
        <v>21</v>
      </c>
      <c r="H8" s="9" t="s">
        <v>18</v>
      </c>
    </row>
    <row r="9" customFormat="false" ht="15" hidden="false" customHeight="false" outlineLevel="0" collapsed="false">
      <c r="A9" s="4" t="s">
        <v>22</v>
      </c>
      <c r="B9" s="5" t="s">
        <v>23</v>
      </c>
      <c r="C9" s="6" t="n">
        <v>46363</v>
      </c>
      <c r="D9" s="6" t="n">
        <v>46380</v>
      </c>
      <c r="E9" s="7" t="n">
        <f aca="false">NETWORKDAYS(C9,D9)</f>
        <v>14</v>
      </c>
      <c r="F9" s="8" t="n">
        <f aca="false">E9/5</f>
        <v>2.8</v>
      </c>
      <c r="G9" s="5" t="s">
        <v>24</v>
      </c>
      <c r="H9" s="9" t="s">
        <v>18</v>
      </c>
    </row>
    <row r="10" customFormat="false" ht="15" hidden="false" customHeight="false" outlineLevel="0" collapsed="false">
      <c r="A10" s="10" t="s">
        <v>25</v>
      </c>
      <c r="B10" s="11" t="s">
        <v>26</v>
      </c>
      <c r="C10" s="6" t="n">
        <v>46384</v>
      </c>
      <c r="D10" s="6" t="n">
        <v>46388</v>
      </c>
      <c r="E10" s="12" t="n">
        <f aca="false">NETWORKDAYS(C10,D10)</f>
        <v>5</v>
      </c>
      <c r="F10" s="13" t="n">
        <f aca="false">E10/5</f>
        <v>1</v>
      </c>
      <c r="G10" s="11" t="s">
        <v>27</v>
      </c>
      <c r="H10" s="9" t="s">
        <v>18</v>
      </c>
    </row>
    <row r="11" customFormat="false" ht="15" hidden="false" customHeight="false" outlineLevel="0" collapsed="false">
      <c r="A11" s="4" t="s">
        <v>28</v>
      </c>
      <c r="B11" s="5" t="s">
        <v>29</v>
      </c>
      <c r="C11" s="6" t="n">
        <v>46391</v>
      </c>
      <c r="D11" s="6" t="n">
        <v>46409</v>
      </c>
      <c r="E11" s="7" t="n">
        <f aca="false">NETWORKDAYS(C11,D11)</f>
        <v>15</v>
      </c>
      <c r="F11" s="8" t="n">
        <f aca="false">E11/5</f>
        <v>3</v>
      </c>
      <c r="G11" s="5" t="s">
        <v>30</v>
      </c>
      <c r="H11" s="9" t="s">
        <v>18</v>
      </c>
    </row>
    <row r="12" customFormat="false" ht="15" hidden="false" customHeight="false" outlineLevel="0" collapsed="false">
      <c r="A12" s="4" t="s">
        <v>31</v>
      </c>
      <c r="B12" s="5" t="s">
        <v>32</v>
      </c>
      <c r="C12" s="6" t="n">
        <v>46412</v>
      </c>
      <c r="D12" s="6" t="n">
        <v>46423</v>
      </c>
      <c r="E12" s="7" t="n">
        <f aca="false">NETWORKDAYS(C12,D12)</f>
        <v>10</v>
      </c>
      <c r="F12" s="8" t="n">
        <f aca="false">E12/5</f>
        <v>2</v>
      </c>
      <c r="G12" s="5" t="s">
        <v>33</v>
      </c>
      <c r="H12" s="9" t="s">
        <v>18</v>
      </c>
    </row>
    <row r="13" customFormat="false" ht="23.85" hidden="false" customHeight="false" outlineLevel="0" collapsed="false">
      <c r="A13" s="4" t="s">
        <v>34</v>
      </c>
      <c r="B13" s="5" t="s">
        <v>35</v>
      </c>
      <c r="C13" s="6" t="n">
        <v>46426</v>
      </c>
      <c r="D13" s="6" t="n">
        <v>46437</v>
      </c>
      <c r="E13" s="7" t="n">
        <f aca="false">NETWORKDAYS(C13,D13)</f>
        <v>10</v>
      </c>
      <c r="F13" s="8" t="n">
        <f aca="false">E13/5</f>
        <v>2</v>
      </c>
      <c r="G13" s="5" t="s">
        <v>36</v>
      </c>
      <c r="H13" s="9" t="s">
        <v>18</v>
      </c>
    </row>
    <row r="14" customFormat="false" ht="15" hidden="false" customHeight="false" outlineLevel="0" collapsed="false">
      <c r="A14" s="4" t="s">
        <v>37</v>
      </c>
      <c r="B14" s="5" t="s">
        <v>38</v>
      </c>
      <c r="C14" s="6" t="n">
        <v>46440</v>
      </c>
      <c r="D14" s="6" t="n">
        <v>46458</v>
      </c>
      <c r="E14" s="7" t="n">
        <f aca="false">NETWORKDAYS(C14,D14)</f>
        <v>15</v>
      </c>
      <c r="F14" s="8" t="n">
        <f aca="false">E14/5</f>
        <v>3</v>
      </c>
      <c r="G14" s="5" t="s">
        <v>39</v>
      </c>
      <c r="H14" s="9" t="s">
        <v>18</v>
      </c>
    </row>
    <row r="15" customFormat="false" ht="15" hidden="false" customHeight="false" outlineLevel="0" collapsed="false">
      <c r="A15" s="4" t="s">
        <v>40</v>
      </c>
      <c r="B15" s="5" t="s">
        <v>41</v>
      </c>
      <c r="C15" s="6" t="n">
        <v>46461</v>
      </c>
      <c r="D15" s="6" t="n">
        <v>46486</v>
      </c>
      <c r="E15" s="7" t="n">
        <f aca="false">NETWORKDAYS(C15,D15)</f>
        <v>20</v>
      </c>
      <c r="F15" s="8" t="n">
        <f aca="false">E15/5</f>
        <v>4</v>
      </c>
      <c r="G15" s="5" t="s">
        <v>42</v>
      </c>
      <c r="H15" s="9" t="s">
        <v>18</v>
      </c>
    </row>
    <row r="16" customFormat="false" ht="15" hidden="false" customHeight="false" outlineLevel="0" collapsed="false">
      <c r="A16" s="4" t="s">
        <v>43</v>
      </c>
      <c r="B16" s="5" t="s">
        <v>44</v>
      </c>
      <c r="C16" s="6" t="n">
        <v>46489</v>
      </c>
      <c r="D16" s="6" t="n">
        <v>46507</v>
      </c>
      <c r="E16" s="7" t="n">
        <f aca="false">NETWORKDAYS(C16,D16)</f>
        <v>15</v>
      </c>
      <c r="F16" s="8" t="n">
        <f aca="false">E16/5</f>
        <v>3</v>
      </c>
      <c r="G16" s="5" t="s">
        <v>45</v>
      </c>
      <c r="H16" s="9" t="s">
        <v>18</v>
      </c>
    </row>
    <row r="17" customFormat="false" ht="15" hidden="false" customHeight="false" outlineLevel="0" collapsed="false">
      <c r="A17" s="14" t="s">
        <v>46</v>
      </c>
      <c r="B17" s="14"/>
      <c r="C17" s="15" t="n">
        <f aca="false">MIN(C6:C16)</f>
        <v>46314</v>
      </c>
      <c r="D17" s="15" t="n">
        <f aca="false">MAX(D6:D16)</f>
        <v>46507</v>
      </c>
      <c r="E17" s="16" t="n">
        <f aca="false">SUM(E6:E16)</f>
        <v>139</v>
      </c>
      <c r="F17" s="17" t="n">
        <f aca="false">SUM(F6:F16)</f>
        <v>27.8</v>
      </c>
      <c r="G17" s="14"/>
      <c r="H17" s="14"/>
    </row>
    <row r="19" customFormat="false" ht="15" hidden="false" customHeight="false" outlineLevel="0" collapsed="false">
      <c r="A19" s="18" t="s">
        <v>47</v>
      </c>
    </row>
    <row r="20" customFormat="false" ht="27.75" hidden="false" customHeight="true" outlineLevel="0" collapsed="false">
      <c r="A20" s="19" t="s">
        <v>48</v>
      </c>
      <c r="B20" s="19"/>
      <c r="C20" s="19"/>
      <c r="D20" s="19"/>
      <c r="E20" s="19"/>
      <c r="F20" s="19"/>
      <c r="G20" s="19"/>
      <c r="H20" s="19"/>
    </row>
    <row r="21" customFormat="false" ht="27.75" hidden="false" customHeight="true" outlineLevel="0" collapsed="false">
      <c r="A21" s="19" t="s">
        <v>49</v>
      </c>
      <c r="B21" s="19"/>
      <c r="C21" s="19"/>
      <c r="D21" s="19"/>
      <c r="E21" s="19"/>
      <c r="F21" s="19"/>
      <c r="G21" s="19"/>
      <c r="H21" s="19"/>
    </row>
    <row r="22" customFormat="false" ht="27.75" hidden="false" customHeight="true" outlineLevel="0" collapsed="false">
      <c r="A22" s="19" t="s">
        <v>50</v>
      </c>
      <c r="B22" s="19"/>
      <c r="C22" s="19"/>
      <c r="D22" s="19"/>
      <c r="E22" s="19"/>
      <c r="F22" s="19"/>
      <c r="G22" s="19"/>
      <c r="H22" s="19"/>
    </row>
  </sheetData>
  <mergeCells count="3">
    <mergeCell ref="A20:H20"/>
    <mergeCell ref="A21:H21"/>
    <mergeCell ref="A22:H22"/>
  </mergeCells>
  <conditionalFormatting sqref="H6:H16">
    <cfRule type="expression" priority="2" aboveAverage="0" equalAverage="0" bottom="0" percent="0" rank="0" text="" dxfId="0">
      <formula>$H6="Concluída"</formula>
    </cfRule>
    <cfRule type="expression" priority="3" aboveAverage="0" equalAverage="0" bottom="0" percent="0" rank="0" text="" dxfId="1">
      <formula>$H6="Atrasada"</formula>
    </cfRule>
  </conditionalFormatting>
  <dataValidations count="1">
    <dataValidation allowBlank="false" errorStyle="stop" operator="between" showDropDown="false" showErrorMessage="false" showInputMessage="false" sqref="H6:H16" type="list">
      <formula1>"A fazer,Em andamento,Concluída,Atrasada"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3"/>
    <col collapsed="false" customWidth="true" hidden="false" outlineLevel="0" max="3" min="3" style="0" width="62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51</v>
      </c>
    </row>
    <row r="3" customFormat="false" ht="30" hidden="false" customHeight="true" outlineLevel="0" collapsed="false">
      <c r="A3" s="3" t="s">
        <v>52</v>
      </c>
      <c r="B3" s="3" t="s">
        <v>53</v>
      </c>
      <c r="C3" s="3" t="s">
        <v>54</v>
      </c>
      <c r="D3" s="3" t="s">
        <v>10</v>
      </c>
    </row>
    <row r="4" customFormat="false" ht="15" hidden="false" customHeight="false" outlineLevel="0" collapsed="false">
      <c r="A4" s="5" t="s">
        <v>55</v>
      </c>
      <c r="B4" s="20" t="n">
        <v>46323</v>
      </c>
      <c r="C4" s="5" t="s">
        <v>56</v>
      </c>
      <c r="D4" s="9" t="s">
        <v>57</v>
      </c>
    </row>
    <row r="5" customFormat="false" ht="23.85" hidden="false" customHeight="false" outlineLevel="0" collapsed="false">
      <c r="A5" s="5" t="s">
        <v>58</v>
      </c>
      <c r="B5" s="20" t="n">
        <v>46339</v>
      </c>
      <c r="C5" s="5" t="s">
        <v>59</v>
      </c>
      <c r="D5" s="9" t="s">
        <v>57</v>
      </c>
    </row>
    <row r="6" customFormat="false" ht="15" hidden="false" customHeight="false" outlineLevel="0" collapsed="false">
      <c r="A6" s="5" t="s">
        <v>60</v>
      </c>
      <c r="B6" s="20" t="n">
        <v>46447</v>
      </c>
      <c r="C6" s="5" t="s">
        <v>61</v>
      </c>
      <c r="D6" s="9" t="s">
        <v>57</v>
      </c>
    </row>
    <row r="7" customFormat="false" ht="23.85" hidden="false" customHeight="false" outlineLevel="0" collapsed="false">
      <c r="A7" s="5" t="s">
        <v>62</v>
      </c>
      <c r="B7" s="20" t="n">
        <v>46447</v>
      </c>
      <c r="C7" s="5" t="s">
        <v>63</v>
      </c>
      <c r="D7" s="9" t="s">
        <v>57</v>
      </c>
    </row>
    <row r="8" customFormat="false" ht="15" hidden="false" customHeight="false" outlineLevel="0" collapsed="false">
      <c r="A8" s="5" t="s">
        <v>64</v>
      </c>
      <c r="B8" s="20" t="n">
        <v>46447</v>
      </c>
      <c r="C8" s="5" t="s">
        <v>65</v>
      </c>
      <c r="D8" s="9" t="s">
        <v>57</v>
      </c>
    </row>
    <row r="9" customFormat="false" ht="23.85" hidden="false" customHeight="false" outlineLevel="0" collapsed="false">
      <c r="A9" s="5" t="s">
        <v>66</v>
      </c>
      <c r="B9" s="20" t="n">
        <v>46447</v>
      </c>
      <c r="C9" s="5" t="s">
        <v>67</v>
      </c>
      <c r="D9" s="9" t="s">
        <v>57</v>
      </c>
    </row>
    <row r="10" customFormat="false" ht="15" hidden="false" customHeight="false" outlineLevel="0" collapsed="false">
      <c r="A10" s="5" t="s">
        <v>68</v>
      </c>
      <c r="B10" s="20" t="n">
        <v>46461</v>
      </c>
      <c r="C10" s="5" t="s">
        <v>69</v>
      </c>
      <c r="D10" s="9" t="s">
        <v>57</v>
      </c>
    </row>
    <row r="11" customFormat="false" ht="15" hidden="false" customHeight="false" outlineLevel="0" collapsed="false">
      <c r="A11" s="5" t="s">
        <v>70</v>
      </c>
      <c r="B11" s="20" t="n">
        <v>46472</v>
      </c>
      <c r="C11" s="5" t="s">
        <v>71</v>
      </c>
      <c r="D11" s="9" t="s">
        <v>57</v>
      </c>
    </row>
  </sheetData>
  <conditionalFormatting sqref="D4:D11">
    <cfRule type="expression" priority="2" aboveAverage="0" equalAverage="0" bottom="0" percent="0" rank="0" text="" dxfId="0">
      <formula>$D4="Decidida"</formula>
    </cfRule>
  </conditionalFormatting>
  <dataValidations count="1">
    <dataValidation allowBlank="false" errorStyle="stop" operator="between" showDropDown="false" showErrorMessage="false" showInputMessage="false" sqref="D4:D11" type="list">
      <formula1>"Em aberto,Decidida"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72</v>
      </c>
    </row>
    <row r="3" customFormat="false" ht="30" hidden="false" customHeight="true" outlineLevel="0" collapsed="false">
      <c r="A3" s="3" t="s">
        <v>73</v>
      </c>
      <c r="B3" s="3" t="s">
        <v>74</v>
      </c>
      <c r="C3" s="3" t="s">
        <v>75</v>
      </c>
    </row>
    <row r="4" customFormat="false" ht="23.85" hidden="false" customHeight="false" outlineLevel="0" collapsed="false">
      <c r="A4" s="5" t="s">
        <v>76</v>
      </c>
      <c r="B4" s="21" t="s">
        <v>77</v>
      </c>
      <c r="C4" s="5" t="s">
        <v>78</v>
      </c>
    </row>
    <row r="5" customFormat="false" ht="15" hidden="false" customHeight="false" outlineLevel="0" collapsed="false">
      <c r="A5" s="5" t="s">
        <v>79</v>
      </c>
      <c r="B5" s="21" t="s">
        <v>80</v>
      </c>
      <c r="C5" s="5" t="s">
        <v>81</v>
      </c>
    </row>
    <row r="6" customFormat="false" ht="23.85" hidden="false" customHeight="false" outlineLevel="0" collapsed="false">
      <c r="A6" s="5" t="s">
        <v>82</v>
      </c>
      <c r="B6" s="21" t="s">
        <v>83</v>
      </c>
      <c r="C6" s="5" t="s">
        <v>84</v>
      </c>
    </row>
    <row r="7" customFormat="false" ht="15" hidden="false" customHeight="false" outlineLevel="0" collapsed="false">
      <c r="A7" s="5" t="s">
        <v>85</v>
      </c>
      <c r="B7" s="21" t="s">
        <v>80</v>
      </c>
      <c r="C7" s="5" t="s">
        <v>86</v>
      </c>
    </row>
    <row r="8" customFormat="false" ht="15" hidden="false" customHeight="false" outlineLevel="0" collapsed="false">
      <c r="A8" s="5" t="s">
        <v>87</v>
      </c>
      <c r="B8" s="21" t="s">
        <v>88</v>
      </c>
      <c r="C8" s="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2026-10-20T16:19:43Z</dcterms:created>
  <dc:creator>openpyxl</dc:creator>
  <dc:description/>
  <dc:language>en-US</dc:language>
  <cp:lastModifiedBy/>
  <dcterms:modified xsi:type="dcterms:W3CDTF">2026-10-20T16:19:43Z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